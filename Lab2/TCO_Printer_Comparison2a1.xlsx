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kjet (Printer A)" sheetId="2" state="visible" r:id="rId4"/>
    <sheet name="Laser (Printer B)" sheetId="3" state="visible" r:id="rId5"/>
    <sheet name="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<sst xmlns="http://schemas.openxmlformats.org/spreadsheetml/2006/main" count="79" uniqueCount="55">
  <si>
    <t xml:space="preserve">Total Cost of Ownership (TCO) — Printer Comparison</t>
  </si>
  <si>
    <t xml:space="preserve">Blue = your inputs (change these).  Yellow = update with researched values.</t>
  </si>
  <si>
    <t xml:space="preserve">GENERAL ASSUMPTIONS</t>
  </si>
  <si>
    <t xml:space="preserve">Comparison period (years)</t>
  </si>
  <si>
    <t xml:space="preserve">yrs</t>
  </si>
  <si>
    <t xml:space="preserve">Pages printed per week</t>
  </si>
  <si>
    <t xml:space="preserve">pages</t>
  </si>
  <si>
    <t xml:space="preserve">Weeks per year</t>
  </si>
  <si>
    <t xml:space="preserve">weeks</t>
  </si>
  <si>
    <t xml:space="preserve">Printer power-on time per week</t>
  </si>
  <si>
    <t xml:space="preserve">hours</t>
  </si>
  <si>
    <t xml:space="preserve">Electricity rate</t>
  </si>
  <si>
    <t xml:space="preserve">$/kWh</t>
  </si>
  <si>
    <t xml:space="preserve">Paper cost per ream (500 sheets)</t>
  </si>
  <si>
    <t xml:space="preserve">$</t>
  </si>
  <si>
    <t xml:space="preserve">TOTAL PAGES over period</t>
  </si>
  <si>
    <t xml:space="preserve">PRINTER A — INKJET (example)</t>
  </si>
  <si>
    <t xml:space="preserve">Printer A name / model</t>
  </si>
  <si>
    <t xml:space="preserve">HP DeskJet (example)</t>
  </si>
  <si>
    <t xml:space="preserve">Purchase price ($)</t>
  </si>
  <si>
    <t xml:space="preserve">Ink cartridge cost ($ each)</t>
  </si>
  <si>
    <t xml:space="preserve">Cartridge page yield (pages)</t>
  </si>
  <si>
    <t xml:space="preserve">Power draw (watts)</t>
  </si>
  <si>
    <t xml:space="preserve">PRINTER B — LASER (example)</t>
  </si>
  <si>
    <t xml:space="preserve">Printer B name / model</t>
  </si>
  <si>
    <t xml:space="preserve">Brother HL-L2350DW (example)</t>
  </si>
  <si>
    <t xml:space="preserve">Toner cartridge cost ($ each)</t>
  </si>
  <si>
    <t xml:space="preserve">Toner page yield (pages)</t>
  </si>
  <si>
    <t xml:space="preserve">Item Description</t>
  </si>
  <si>
    <t xml:space="preserve">Type</t>
  </si>
  <si>
    <t xml:space="preserve">Unit Price ($)</t>
  </si>
  <si>
    <t xml:space="preserve">Units Consumed</t>
  </si>
  <si>
    <t xml:space="preserve">Total Cost ($)</t>
  </si>
  <si>
    <t xml:space="preserve">Printer (hardware)</t>
  </si>
  <si>
    <t xml:space="preserve">Fixed</t>
  </si>
  <si>
    <t xml:space="preserve">Ink cartridges</t>
  </si>
  <si>
    <t xml:space="preserve">Variable</t>
  </si>
  <si>
    <t xml:space="preserve">Paper (reams of 500)</t>
  </si>
  <si>
    <t xml:space="preserve">Electricity</t>
  </si>
  <si>
    <t xml:space="preserve">Total FIXED costs</t>
  </si>
  <si>
    <t xml:space="preserve">Total VARIABLE costs</t>
  </si>
  <si>
    <t xml:space="preserve">GRAND TOTAL — Total Cost of Ownership</t>
  </si>
  <si>
    <t xml:space="preserve">Cost per page</t>
  </si>
  <si>
    <t xml:space="preserve">Toner cartridges</t>
  </si>
  <si>
    <t xml:space="preserve">TCO Comparison &amp; Break-even</t>
  </si>
  <si>
    <t xml:space="preserve">Metric</t>
  </si>
  <si>
    <t xml:space="preserve">Printer A (Inkjet)</t>
  </si>
  <si>
    <t xml:space="preserve">Printer B (Laser)</t>
  </si>
  <si>
    <t xml:space="preserve">Printer name</t>
  </si>
  <si>
    <t xml:space="preserve">GRAND TOTAL (TCO)</t>
  </si>
  <si>
    <t xml:space="preserve">Lower TCO printer:</t>
  </si>
  <si>
    <t xml:space="preserve">BREAK-EVEN OVER TIME (cumulative TCO by year)</t>
  </si>
  <si>
    <t xml:space="preserve">Year</t>
  </si>
  <si>
    <t xml:space="preserve">Printer A cumulative ($)</t>
  </si>
  <si>
    <t xml:space="preserve">Printer B cumulative ($)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</si>
</sst>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.00"/>
    <numFmt numFmtId="167" formatCode="\$#,##0.000"/>
    <numFmt numFmtId="168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AA433F"/>
      <rgbColor rgb="FFFCE4D6"/>
      <rgbColor rgb="FFD9E1F2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TCO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Comparison!B14</c:f>
              <c:strCache>
                <c:ptCount val="1"/>
                <c:pt idx="0">
                  <c:v>Printer A cumulative ($)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Comparison!$A$15:$A$24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Comparison!$B$15:$B$24</c:f>
              <c:numCache>
                <c:formatCode>\$#,##0</c:formatCode>
                <c:ptCount val="10"/>
                <c:pt idx="0">
                  <c:v>8366.72</c:v>
                </c:pt>
                <c:pt idx="1">
                  <c:v>16653.44</c:v>
                </c:pt>
                <c:pt idx="2">
                  <c:v>24940.16</c:v>
                </c:pt>
                <c:pt idx="3">
                  <c:v>33226.88</c:v>
                </c:pt>
                <c:pt idx="4">
                  <c:v>41513.6</c:v>
                </c:pt>
                <c:pt idx="5">
                  <c:v>49800.32</c:v>
                </c:pt>
                <c:pt idx="6">
                  <c:v>58087.04</c:v>
                </c:pt>
                <c:pt idx="7">
                  <c:v>66373.76</c:v>
                </c:pt>
                <c:pt idx="8">
                  <c:v>74660.48</c:v>
                </c:pt>
                <c:pt idx="9">
                  <c:v>82947.2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Comparison!C14</c:f>
              <c:strCache>
                <c:ptCount val="1"/>
                <c:pt idx="0">
                  <c:v>Printer B cumulative ($)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Comparison!$A$15:$A$24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Comparison!$C$15:$C$24</c:f>
              <c:numCache>
                <c:formatCode>\$#,##0</c:formatCode>
                <c:ptCount val="10"/>
                <c:pt idx="0">
                  <c:v>2792.4</c:v>
                </c:pt>
                <c:pt idx="1">
                  <c:v>5434.8</c:v>
                </c:pt>
                <c:pt idx="2">
                  <c:v>8077.2</c:v>
                </c:pt>
                <c:pt idx="3">
                  <c:v>10719.6</c:v>
                </c:pt>
                <c:pt idx="4">
                  <c:v>13362</c:v>
                </c:pt>
                <c:pt idx="5">
                  <c:v>16004.4</c:v>
                </c:pt>
                <c:pt idx="6">
                  <c:v>18646.8</c:v>
                </c:pt>
                <c:pt idx="7">
                  <c:v>21289.2</c:v>
                </c:pt>
                <c:pt idx="8">
                  <c:v>23931.6</c:v>
                </c:pt>
                <c:pt idx="9">
                  <c:v>26574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414036"/>
        <c:axId val="96371758"/>
      </c:lineChart>
      <c:catAx>
        <c:axId val="98414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71758"/>
        <c:crosses val="autoZero"/>
        <c:auto val="1"/>
        <c:lblAlgn val="ctr"/>
        <c:lblOffset val="100"/>
        <c:noMultiLvlLbl val="0"/>
      </c:catAx>
      <c:valAx>
        <c:axId val="96371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14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13</xdr:col>
      <xdr:colOff>507600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625032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5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750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v>52</v>
      </c>
      <c r="C7" s="6" t="s">
        <v>8</v>
      </c>
    </row>
    <row r="8" customFormat="false" ht="15" hidden="false" customHeight="false" outlineLevel="0" collapsed="false">
      <c r="A8" s="4" t="s">
        <v>9</v>
      </c>
      <c r="B8" s="5" t="n">
        <v>40</v>
      </c>
      <c r="C8" s="6" t="s">
        <v>10</v>
      </c>
    </row>
    <row r="9" customFormat="false" ht="15" hidden="false" customHeight="false" outlineLevel="0" collapsed="false">
      <c r="A9" s="4" t="s">
        <v>11</v>
      </c>
      <c r="B9" s="5" t="n">
        <v>0.3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5" t="n">
        <v>6</v>
      </c>
      <c r="C10" s="6" t="s">
        <v>14</v>
      </c>
    </row>
    <row r="11" customFormat="false" ht="15" hidden="false" customHeight="false" outlineLevel="0" collapsed="false">
      <c r="A11" s="7" t="s">
        <v>15</v>
      </c>
      <c r="B11" s="8" t="n">
        <f aca="false">B6*B7*B5</f>
        <v>195000</v>
      </c>
      <c r="C11" s="6" t="s">
        <v>6</v>
      </c>
    </row>
    <row r="13" customFormat="false" ht="15" hidden="false" customHeight="false" outlineLevel="0" collapsed="false">
      <c r="A13" s="3" t="s">
        <v>16</v>
      </c>
      <c r="B13" s="3"/>
    </row>
    <row r="14" customFormat="false" ht="15" hidden="false" customHeight="false" outlineLevel="0" collapsed="false">
      <c r="A14" s="4" t="s">
        <v>17</v>
      </c>
      <c r="B14" s="5" t="s">
        <v>18</v>
      </c>
    </row>
    <row r="15" customFormat="false" ht="15" hidden="false" customHeight="false" outlineLevel="0" collapsed="false">
      <c r="A15" s="4" t="s">
        <v>19</v>
      </c>
      <c r="B15" s="5" t="n">
        <v>80</v>
      </c>
    </row>
    <row r="16" customFormat="false" ht="15" hidden="false" customHeight="false" outlineLevel="0" collapsed="false">
      <c r="A16" s="4" t="s">
        <v>20</v>
      </c>
      <c r="B16" s="5" t="n">
        <v>40</v>
      </c>
    </row>
    <row r="17" customFormat="false" ht="15" hidden="false" customHeight="false" outlineLevel="0" collapsed="false">
      <c r="A17" s="4" t="s">
        <v>21</v>
      </c>
      <c r="B17" s="5" t="n">
        <v>200</v>
      </c>
    </row>
    <row r="18" customFormat="false" ht="15" hidden="false" customHeight="false" outlineLevel="0" collapsed="false">
      <c r="A18" s="4" t="s">
        <v>22</v>
      </c>
      <c r="B18" s="5" t="n">
        <v>30</v>
      </c>
    </row>
    <row r="20" customFormat="false" ht="15" hidden="false" customHeight="false" outlineLevel="0" collapsed="false">
      <c r="A20" s="3" t="s">
        <v>23</v>
      </c>
      <c r="B20" s="3"/>
    </row>
    <row r="21" customFormat="false" ht="15" hidden="false" customHeight="false" outlineLevel="0" collapsed="false">
      <c r="A21" s="4" t="s">
        <v>24</v>
      </c>
      <c r="B21" s="5" t="s">
        <v>25</v>
      </c>
    </row>
    <row r="22" customFormat="false" ht="15" hidden="false" customHeight="false" outlineLevel="0" collapsed="false">
      <c r="A22" s="4" t="s">
        <v>19</v>
      </c>
      <c r="B22" s="5" t="n">
        <v>150</v>
      </c>
    </row>
    <row r="23" customFormat="false" ht="15" hidden="false" customHeight="false" outlineLevel="0" collapsed="false">
      <c r="A23" s="4" t="s">
        <v>26</v>
      </c>
      <c r="B23" s="5" t="n">
        <v>60</v>
      </c>
    </row>
    <row r="24" customFormat="false" ht="15" hidden="false" customHeight="false" outlineLevel="0" collapsed="false">
      <c r="A24" s="4" t="s">
        <v>27</v>
      </c>
      <c r="B24" s="5" t="n">
        <v>1200</v>
      </c>
    </row>
    <row r="25" customFormat="false" ht="15" hidden="false" customHeight="false" outlineLevel="0" collapsed="false">
      <c r="A25" s="4" t="s">
        <v>22</v>
      </c>
      <c r="B25" s="5" t="n">
        <v>350</v>
      </c>
    </row>
  </sheetData>
  <mergeCells count="5">
    <mergeCell ref="A1:D1"/>
    <mergeCell ref="A2:D2"/>
    <mergeCell ref="A4:B4"/>
    <mergeCell ref="A13:B13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tr">
        <f aca="false">Assumptions!$B$14</f>
        <v>HP DeskJet (example)</v>
      </c>
      <c r="B1" s="1"/>
      <c r="C1" s="1"/>
      <c r="D1" s="1"/>
      <c r="E1" s="1"/>
    </row>
    <row r="3" customFormat="false" ht="15" hidden="false" customHeight="false" outlineLevel="0" collapsed="false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customFormat="false" ht="15" hidden="false" customHeight="false" outlineLevel="0" collapsed="false">
      <c r="A4" s="10" t="s">
        <v>33</v>
      </c>
      <c r="B4" s="11" t="s">
        <v>34</v>
      </c>
      <c r="C4" s="12" t="n">
        <f aca="false">Assumptions!$B$15</f>
        <v>80</v>
      </c>
      <c r="D4" s="11" t="n">
        <v>1</v>
      </c>
      <c r="E4" s="13" t="n">
        <f aca="false">C4*D4</f>
        <v>80</v>
      </c>
    </row>
    <row r="5" customFormat="false" ht="15" hidden="false" customHeight="false" outlineLevel="0" collapsed="false">
      <c r="A5" s="10" t="s">
        <v>35</v>
      </c>
      <c r="B5" s="11" t="s">
        <v>36</v>
      </c>
      <c r="C5" s="12" t="n">
        <f aca="false">Assumptions!$B$16</f>
        <v>40</v>
      </c>
      <c r="D5" s="11" t="n">
        <f aca="false">ROUNDUP(Assumptions!$B$11/Assumptions!$B$17,0)</f>
        <v>975</v>
      </c>
      <c r="E5" s="13" t="n">
        <f aca="false">C5*D5</f>
        <v>39000</v>
      </c>
    </row>
    <row r="6" customFormat="false" ht="15" hidden="false" customHeight="false" outlineLevel="0" collapsed="false">
      <c r="A6" s="10" t="s">
        <v>37</v>
      </c>
      <c r="B6" s="11" t="s">
        <v>36</v>
      </c>
      <c r="C6" s="12" t="n">
        <f aca="false">Assumptions!$B$10</f>
        <v>6</v>
      </c>
      <c r="D6" s="11" t="n">
        <f aca="false">ROUNDUP(Assumptions!$B$11/500,0)</f>
        <v>390</v>
      </c>
      <c r="E6" s="13" t="n">
        <f aca="false">C6*D6</f>
        <v>2340</v>
      </c>
    </row>
    <row r="7" customFormat="false" ht="15" hidden="false" customHeight="false" outlineLevel="0" collapsed="false">
      <c r="A7" s="10" t="s">
        <v>38</v>
      </c>
      <c r="B7" s="11" t="s">
        <v>36</v>
      </c>
      <c r="C7" s="12" t="n">
        <f aca="false">Assumptions!$B$9</f>
        <v>0.3</v>
      </c>
      <c r="D7" s="11" t="n">
        <f aca="false">(Assumptions!$B$18/1000)*Assumptions!$B$8*Assumptions!$B$7*Assumptions!$B$5</f>
        <v>312</v>
      </c>
      <c r="E7" s="13" t="n">
        <f aca="false">C7*D7</f>
        <v>93.6</v>
      </c>
    </row>
    <row r="9" customFormat="false" ht="15" hidden="false" customHeight="false" outlineLevel="0" collapsed="false">
      <c r="A9" s="7" t="s">
        <v>39</v>
      </c>
      <c r="E9" s="14" t="n">
        <f aca="false">SUMIF(B4:B7,"Fixed",E4:E7)</f>
        <v>80</v>
      </c>
    </row>
    <row r="10" customFormat="false" ht="15" hidden="false" customHeight="false" outlineLevel="0" collapsed="false">
      <c r="A10" s="7" t="s">
        <v>40</v>
      </c>
      <c r="E10" s="14" t="n">
        <f aca="false">SUMIF(B4:B7,"Variable",E4:E7)</f>
        <v>41433.6</v>
      </c>
    </row>
    <row r="12" customFormat="false" ht="15" hidden="false" customHeight="false" outlineLevel="0" collapsed="false">
      <c r="A12" s="15" t="s">
        <v>41</v>
      </c>
      <c r="B12" s="15"/>
      <c r="C12" s="15"/>
      <c r="D12" s="15"/>
      <c r="E12" s="16" t="n">
        <f aca="false">E9+E10</f>
        <v>41513.6</v>
      </c>
    </row>
    <row r="14" customFormat="false" ht="15" hidden="false" customHeight="false" outlineLevel="0" collapsed="false">
      <c r="A14" s="17" t="s">
        <v>42</v>
      </c>
      <c r="B14" s="17"/>
      <c r="C14" s="17"/>
      <c r="D14" s="17"/>
      <c r="E14" s="18" t="n">
        <f aca="false">E12/Assumptions!$B$11</f>
        <v>0.212890256410256</v>
      </c>
    </row>
  </sheetData>
  <mergeCells count="3">
    <mergeCell ref="A1:E1"/>
    <mergeCell ref="A12:D1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tr">
        <f aca="false">Assumptions!$B$21</f>
        <v>Brother HL-L2350DW (example)</v>
      </c>
      <c r="B1" s="1"/>
      <c r="C1" s="1"/>
      <c r="D1" s="1"/>
      <c r="E1" s="1"/>
    </row>
    <row r="3" customFormat="false" ht="15" hidden="false" customHeight="false" outlineLevel="0" collapsed="false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customFormat="false" ht="15" hidden="false" customHeight="false" outlineLevel="0" collapsed="false">
      <c r="A4" s="10" t="s">
        <v>33</v>
      </c>
      <c r="B4" s="11" t="s">
        <v>34</v>
      </c>
      <c r="C4" s="12" t="n">
        <f aca="false">Assumptions!$B$22</f>
        <v>150</v>
      </c>
      <c r="D4" s="11" t="n">
        <v>1</v>
      </c>
      <c r="E4" s="13" t="n">
        <f aca="false">C4*D4</f>
        <v>150</v>
      </c>
    </row>
    <row r="5" customFormat="false" ht="15" hidden="false" customHeight="false" outlineLevel="0" collapsed="false">
      <c r="A5" s="10" t="s">
        <v>43</v>
      </c>
      <c r="B5" s="11" t="s">
        <v>36</v>
      </c>
      <c r="C5" s="12" t="n">
        <f aca="false">Assumptions!$B$23</f>
        <v>60</v>
      </c>
      <c r="D5" s="11" t="n">
        <f aca="false">ROUNDUP(Assumptions!$B$11/Assumptions!$B$24,0)</f>
        <v>163</v>
      </c>
      <c r="E5" s="13" t="n">
        <f aca="false">C5*D5</f>
        <v>9780</v>
      </c>
    </row>
    <row r="6" customFormat="false" ht="15" hidden="false" customHeight="false" outlineLevel="0" collapsed="false">
      <c r="A6" s="10" t="s">
        <v>37</v>
      </c>
      <c r="B6" s="11" t="s">
        <v>36</v>
      </c>
      <c r="C6" s="12" t="n">
        <f aca="false">Assumptions!$B$10</f>
        <v>6</v>
      </c>
      <c r="D6" s="11" t="n">
        <f aca="false">ROUNDUP(Assumptions!$B$11/500,0)</f>
        <v>390</v>
      </c>
      <c r="E6" s="13" t="n">
        <f aca="false">C6*D6</f>
        <v>2340</v>
      </c>
    </row>
    <row r="7" customFormat="false" ht="15" hidden="false" customHeight="false" outlineLevel="0" collapsed="false">
      <c r="A7" s="10" t="s">
        <v>38</v>
      </c>
      <c r="B7" s="11" t="s">
        <v>36</v>
      </c>
      <c r="C7" s="12" t="n">
        <f aca="false">Assumptions!$B$9</f>
        <v>0.3</v>
      </c>
      <c r="D7" s="11" t="n">
        <f aca="false">(Assumptions!$B$25/1000)*Assumptions!$B$8*Assumptions!$B$7*Assumptions!$B$5</f>
        <v>3640</v>
      </c>
      <c r="E7" s="13" t="n">
        <f aca="false">C7*D7</f>
        <v>1092</v>
      </c>
    </row>
    <row r="9" customFormat="false" ht="15" hidden="false" customHeight="false" outlineLevel="0" collapsed="false">
      <c r="A9" s="7" t="s">
        <v>39</v>
      </c>
      <c r="E9" s="14" t="n">
        <f aca="false">SUMIF(B4:B7,"Fixed",E4:E7)</f>
        <v>150</v>
      </c>
    </row>
    <row r="10" customFormat="false" ht="15" hidden="false" customHeight="false" outlineLevel="0" collapsed="false">
      <c r="A10" s="7" t="s">
        <v>40</v>
      </c>
      <c r="E10" s="14" t="n">
        <f aca="false">SUMIF(B4:B7,"Variable",E4:E7)</f>
        <v>13212</v>
      </c>
    </row>
    <row r="12" customFormat="false" ht="15" hidden="false" customHeight="false" outlineLevel="0" collapsed="false">
      <c r="A12" s="15" t="s">
        <v>41</v>
      </c>
      <c r="B12" s="15"/>
      <c r="C12" s="15"/>
      <c r="D12" s="15"/>
      <c r="E12" s="16" t="n">
        <f aca="false">E9+E10</f>
        <v>13362</v>
      </c>
    </row>
    <row r="14" customFormat="false" ht="15" hidden="false" customHeight="false" outlineLevel="0" collapsed="false">
      <c r="A14" s="17" t="s">
        <v>42</v>
      </c>
      <c r="B14" s="17"/>
      <c r="C14" s="17"/>
      <c r="D14" s="17"/>
      <c r="E14" s="18" t="n">
        <f aca="false">E12/Assumptions!$B$11</f>
        <v>0.0685230769230769</v>
      </c>
    </row>
  </sheetData>
  <mergeCells count="3">
    <mergeCell ref="A1:E1"/>
    <mergeCell ref="A12:D1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4"/>
    <col collapsed="false" customWidth="true" hidden="false" outlineLevel="0" max="4" min="4" style="0" width="4"/>
  </cols>
  <sheetData>
    <row r="1" customFormat="false" ht="17.35" hidden="false" customHeight="false" outlineLevel="0" collapsed="false">
      <c r="A1" s="1" t="s">
        <v>44</v>
      </c>
      <c r="B1" s="1"/>
      <c r="C1" s="1"/>
      <c r="D1" s="1"/>
    </row>
    <row r="3" customFormat="false" ht="15" hidden="false" customHeight="false" outlineLevel="0" collapsed="false">
      <c r="A3" s="9" t="s">
        <v>45</v>
      </c>
      <c r="B3" s="9" t="s">
        <v>46</v>
      </c>
      <c r="C3" s="9" t="s">
        <v>47</v>
      </c>
    </row>
    <row r="4" customFormat="false" ht="15" hidden="false" customHeight="false" outlineLevel="0" collapsed="false">
      <c r="A4" s="19" t="s">
        <v>48</v>
      </c>
      <c r="B4" s="20" t="str">
        <f aca="false">'Inkjet (Printer A)'!A1</f>
        <v>HP DeskJet (example)</v>
      </c>
      <c r="C4" s="20" t="str">
        <f aca="false">'Laser (Printer B)'!A1</f>
        <v>Brother HL-L2350DW (example)</v>
      </c>
    </row>
    <row r="5" customFormat="false" ht="15" hidden="false" customHeight="false" outlineLevel="0" collapsed="false">
      <c r="A5" s="19" t="s">
        <v>39</v>
      </c>
      <c r="B5" s="21" t="n">
        <f aca="false">'Inkjet (Printer A)'!E9</f>
        <v>80</v>
      </c>
      <c r="C5" s="21" t="n">
        <f aca="false">'Laser (Printer B)'!E9</f>
        <v>150</v>
      </c>
    </row>
    <row r="6" customFormat="false" ht="15" hidden="false" customHeight="false" outlineLevel="0" collapsed="false">
      <c r="A6" s="19" t="s">
        <v>40</v>
      </c>
      <c r="B6" s="21" t="n">
        <f aca="false">'Inkjet (Printer A)'!E10</f>
        <v>41433.6</v>
      </c>
      <c r="C6" s="21" t="n">
        <f aca="false">'Laser (Printer B)'!E10</f>
        <v>13212</v>
      </c>
    </row>
    <row r="7" customFormat="false" ht="15" hidden="false" customHeight="false" outlineLevel="0" collapsed="false">
      <c r="A7" s="19" t="s">
        <v>49</v>
      </c>
      <c r="B7" s="21" t="n">
        <f aca="false">'Inkjet (Printer A)'!E12</f>
        <v>41513.6</v>
      </c>
      <c r="C7" s="21" t="n">
        <f aca="false">'Laser (Printer B)'!E12</f>
        <v>13362</v>
      </c>
    </row>
    <row r="8" customFormat="false" ht="15" hidden="false" customHeight="false" outlineLevel="0" collapsed="false">
      <c r="A8" s="19" t="s">
        <v>42</v>
      </c>
      <c r="B8" s="22" t="n">
        <f aca="false">'Inkjet (Printer A)'!E14</f>
        <v>0.212890256410256</v>
      </c>
      <c r="C8" s="22" t="n">
        <f aca="false">'Laser (Printer B)'!E14</f>
        <v>0.0685230769230769</v>
      </c>
    </row>
    <row r="10" customFormat="false" ht="15" hidden="false" customHeight="false" outlineLevel="0" collapsed="false">
      <c r="A10" s="7" t="s">
        <v>50</v>
      </c>
      <c r="B10" s="23" t="str">
        <f aca="false">IF(B7&lt;C7,"Printer A (Inkjet)",IF(C7&lt;B7,"Printer B (Laser)","Equal"))</f>
        <v>Printer B (Laser)</v>
      </c>
    </row>
    <row r="13" customFormat="false" ht="15" hidden="false" customHeight="false" outlineLevel="0" collapsed="false">
      <c r="A13" s="3" t="s">
        <v>51</v>
      </c>
      <c r="B13" s="3"/>
      <c r="C13" s="3"/>
      <c r="D13" s="3"/>
    </row>
    <row r="14" customFormat="false" ht="15" hidden="false" customHeight="false" outlineLevel="0" collapsed="false">
      <c r="A14" s="9" t="s">
        <v>52</v>
      </c>
      <c r="B14" s="9" t="s">
        <v>53</v>
      </c>
      <c r="C14" s="9" t="s">
        <v>54</v>
      </c>
    </row>
    <row r="15" customFormat="false" ht="15" hidden="false" customHeight="false" outlineLevel="0" collapsed="false">
      <c r="A15" s="11" t="n">
        <v>1</v>
      </c>
      <c r="B15" s="24" t="n">
        <f aca="false">'Inkjet (Printer A)'!$E$9 + ('Inkjet (Printer A)'!$E$10/Assumptions!$B$5)*A15</f>
        <v>8366.72</v>
      </c>
      <c r="C15" s="24" t="n">
        <f aca="false">'Laser (Printer B)'!$E$9 + ('Laser (Printer B)'!$E$10/Assumptions!$B$5)*A15</f>
        <v>2792.4</v>
      </c>
    </row>
    <row r="16" customFormat="false" ht="15" hidden="false" customHeight="false" outlineLevel="0" collapsed="false">
      <c r="A16" s="11" t="n">
        <v>2</v>
      </c>
      <c r="B16" s="24" t="n">
        <f aca="false">'Inkjet (Printer A)'!$E$9 + ('Inkjet (Printer A)'!$E$10/Assumptions!$B$5)*A16</f>
        <v>16653.44</v>
      </c>
      <c r="C16" s="24" t="n">
        <f aca="false">'Laser (Printer B)'!$E$9 + ('Laser (Printer B)'!$E$10/Assumptions!$B$5)*A16</f>
        <v>5434.8</v>
      </c>
    </row>
    <row r="17" customFormat="false" ht="15" hidden="false" customHeight="false" outlineLevel="0" collapsed="false">
      <c r="A17" s="11" t="n">
        <v>3</v>
      </c>
      <c r="B17" s="24" t="n">
        <f aca="false">'Inkjet (Printer A)'!$E$9 + ('Inkjet (Printer A)'!$E$10/Assumptions!$B$5)*A17</f>
        <v>24940.16</v>
      </c>
      <c r="C17" s="24" t="n">
        <f aca="false">'Laser (Printer B)'!$E$9 + ('Laser (Printer B)'!$E$10/Assumptions!$B$5)*A17</f>
        <v>8077.2</v>
      </c>
    </row>
    <row r="18" customFormat="false" ht="15" hidden="false" customHeight="false" outlineLevel="0" collapsed="false">
      <c r="A18" s="11" t="n">
        <v>4</v>
      </c>
      <c r="B18" s="24" t="n">
        <f aca="false">'Inkjet (Printer A)'!$E$9 + ('Inkjet (Printer A)'!$E$10/Assumptions!$B$5)*A18</f>
        <v>33226.88</v>
      </c>
      <c r="C18" s="24" t="n">
        <f aca="false">'Laser (Printer B)'!$E$9 + ('Laser (Printer B)'!$E$10/Assumptions!$B$5)*A18</f>
        <v>10719.6</v>
      </c>
    </row>
    <row r="19" customFormat="false" ht="15" hidden="false" customHeight="false" outlineLevel="0" collapsed="false">
      <c r="A19" s="11" t="n">
        <v>5</v>
      </c>
      <c r="B19" s="24" t="n">
        <f aca="false">'Inkjet (Printer A)'!$E$9 + ('Inkjet (Printer A)'!$E$10/Assumptions!$B$5)*A19</f>
        <v>41513.6</v>
      </c>
      <c r="C19" s="24" t="n">
        <f aca="false">'Laser (Printer B)'!$E$9 + ('Laser (Printer B)'!$E$10/Assumptions!$B$5)*A19</f>
        <v>13362</v>
      </c>
    </row>
    <row r="20" customFormat="false" ht="15" hidden="false" customHeight="false" outlineLevel="0" collapsed="false">
      <c r="A20" s="11" t="n">
        <v>6</v>
      </c>
      <c r="B20" s="24" t="n">
        <f aca="false">'Inkjet (Printer A)'!$E$9 + ('Inkjet (Printer A)'!$E$10/Assumptions!$B$5)*A20</f>
        <v>49800.32</v>
      </c>
      <c r="C20" s="24" t="n">
        <f aca="false">'Laser (Printer B)'!$E$9 + ('Laser (Printer B)'!$E$10/Assumptions!$B$5)*A20</f>
        <v>16004.4</v>
      </c>
    </row>
    <row r="21" customFormat="false" ht="15" hidden="false" customHeight="false" outlineLevel="0" collapsed="false">
      <c r="A21" s="11" t="n">
        <v>7</v>
      </c>
      <c r="B21" s="24" t="n">
        <f aca="false">'Inkjet (Printer A)'!$E$9 + ('Inkjet (Printer A)'!$E$10/Assumptions!$B$5)*A21</f>
        <v>58087.04</v>
      </c>
      <c r="C21" s="24" t="n">
        <f aca="false">'Laser (Printer B)'!$E$9 + ('Laser (Printer B)'!$E$10/Assumptions!$B$5)*A21</f>
        <v>18646.8</v>
      </c>
    </row>
    <row r="22" customFormat="false" ht="15" hidden="false" customHeight="false" outlineLevel="0" collapsed="false">
      <c r="A22" s="11" t="n">
        <v>8</v>
      </c>
      <c r="B22" s="24" t="n">
        <f aca="false">'Inkjet (Printer A)'!$E$9 + ('Inkjet (Printer A)'!$E$10/Assumptions!$B$5)*A22</f>
        <v>66373.76</v>
      </c>
      <c r="C22" s="24" t="n">
        <f aca="false">'Laser (Printer B)'!$E$9 + ('Laser (Printer B)'!$E$10/Assumptions!$B$5)*A22</f>
        <v>21289.2</v>
      </c>
    </row>
    <row r="23" customFormat="false" ht="15" hidden="false" customHeight="false" outlineLevel="0" collapsed="false">
      <c r="A23" s="11" t="n">
        <v>9</v>
      </c>
      <c r="B23" s="24" t="n">
        <f aca="false">'Inkjet (Printer A)'!$E$9 + ('Inkjet (Printer A)'!$E$10/Assumptions!$B$5)*A23</f>
        <v>74660.48</v>
      </c>
      <c r="C23" s="24" t="n">
        <f aca="false">'Laser (Printer B)'!$E$9 + ('Laser (Printer B)'!$E$10/Assumptions!$B$5)*A23</f>
        <v>23931.6</v>
      </c>
    </row>
    <row r="24" customFormat="false" ht="15" hidden="false" customHeight="false" outlineLevel="0" collapsed="false">
      <c r="A24" s="11" t="n">
        <v>10</v>
      </c>
      <c r="B24" s="24" t="n">
        <f aca="false">'Inkjet (Printer A)'!$E$9 + ('Inkjet (Printer A)'!$E$10/Assumptions!$B$5)*A24</f>
        <v>82947.2</v>
      </c>
      <c r="C24" s="24" t="n">
        <f aca="false">'Laser (Printer B)'!$E$9 + ('Laser (Printer B)'!$E$10/Assumptions!$B$5)*A24</f>
        <v>26574</v>
      </c>
    </row>
  </sheetData>
  <mergeCells count="2">
    <mergeCell ref="A1:D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2026-06-15T08:59:04Z</dcterms:created>
  <dc:creator>openpyxl</dc:creator>
  <dc:description/>
  <dc:language>en-US</dc:language>
  <cp:lastModifiedBy/>
  <dcterms:modified xsi:type="dcterms:W3CDTF">2026-06-15T08:59:11Z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