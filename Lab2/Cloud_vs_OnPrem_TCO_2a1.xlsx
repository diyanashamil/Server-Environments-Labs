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On-Premise" sheetId="2" state="visible" r:id="rId4"/>
    <sheet name="AWS" sheetId="3" state="visible" r:id="rId5"/>
    <sheet name="Azure" sheetId="4" state="visible" r:id="rId6"/>
    <sheet name="Compariso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<sst xmlns="http://schemas.openxmlformats.org/spreadsheetml/2006/main" count="77" uniqueCount="50">
  <si>
    <t xml:space="preserve">Cloud vs On-Premise — Total Cost of Ownership (3-Year)</t>
  </si>
  <si>
    <t xml:space="preserve">Blue/Yellow = editable inputs. Change these and all sheets recalculate.</t>
  </si>
  <si>
    <t xml:space="preserve">GENERAL</t>
  </si>
  <si>
    <t xml:space="preserve">Projection period (years)</t>
  </si>
  <si>
    <t xml:space="preserve">yrs</t>
  </si>
  <si>
    <t xml:space="preserve">Workload</t>
  </si>
  <si>
    <t xml:space="preserve">1 server: ~2 vCPU / 8GB RAM / 100GB / 24x7</t>
  </si>
  <si>
    <t xml:space="preserve">Total months</t>
  </si>
  <si>
    <t xml:space="preserve">On-Premise Server (Own Hardware)</t>
  </si>
  <si>
    <t xml:space="preserve">ONE-TIME (Upfront) COSTS</t>
  </si>
  <si>
    <t xml:space="preserve">Item</t>
  </si>
  <si>
    <t xml:space="preserve">Cost ($)</t>
  </si>
  <si>
    <t xml:space="preserve">Server hardware (purchase)</t>
  </si>
  <si>
    <t xml:space="preserve">Software / OS licensing (one-time)</t>
  </si>
  <si>
    <t xml:space="preserve">Installation &amp; setup</t>
  </si>
  <si>
    <t xml:space="preserve">Total Upfront</t>
  </si>
  <si>
    <t xml:space="preserve">MONTHLY (Recurring) COSTS</t>
  </si>
  <si>
    <t xml:space="preserve">$/month</t>
  </si>
  <si>
    <t xml:space="preserve">Power &amp; cooling</t>
  </si>
  <si>
    <t xml:space="preserve">Maintenance / support contract</t>
  </si>
  <si>
    <t xml:space="preserve">IT admin time (allocated)</t>
  </si>
  <si>
    <t xml:space="preserve">Facilities / rack / network</t>
  </si>
  <si>
    <t xml:space="preserve">Total per Month</t>
  </si>
  <si>
    <t xml:space="preserve">Cost per Year</t>
  </si>
  <si>
    <t xml:space="preserve">TOTAL (3-Year TCO)</t>
  </si>
  <si>
    <t xml:space="preserve">Amazon Web Services (EC2)</t>
  </si>
  <si>
    <t xml:space="preserve">Upfront / reserved fee</t>
  </si>
  <si>
    <t xml:space="preserve">EC2 instance (t3.large, 24x7)</t>
  </si>
  <si>
    <t xml:space="preserve">EBS storage (100GB)</t>
  </si>
  <si>
    <t xml:space="preserve">Data transfer</t>
  </si>
  <si>
    <t xml:space="preserve">Support plan</t>
  </si>
  <si>
    <t xml:space="preserve">Microsoft Azure (Virtual Machine)</t>
  </si>
  <si>
    <t xml:space="preserve">VM (B2ms / D2s, 24x7)</t>
  </si>
  <si>
    <t xml:space="preserve">Managed disk (100GB)</t>
  </si>
  <si>
    <t xml:space="preserve">Bandwidth</t>
  </si>
  <si>
    <t xml:space="preserve">TCO Comparison, Break-even &amp; 3-Year Projection</t>
  </si>
  <si>
    <t xml:space="preserve">Metric</t>
  </si>
  <si>
    <t xml:space="preserve">On-Premise</t>
  </si>
  <si>
    <t xml:space="preserve">AWS</t>
  </si>
  <si>
    <t xml:space="preserve">Azure</t>
  </si>
  <si>
    <t xml:space="preserve">Upfront cost</t>
  </si>
  <si>
    <t xml:space="preserve">Monthly cost</t>
  </si>
  <si>
    <t xml:space="preserve">Yearly cost</t>
  </si>
  <si>
    <t xml:space="preserve">3-Year TCO</t>
  </si>
  <si>
    <t xml:space="preserve">Lowest 3-Year TCO</t>
  </si>
  <si>
    <t xml:space="preserve">Break-even: On-Premise vs AWS</t>
  </si>
  <si>
    <t xml:space="preserve">months</t>
  </si>
  <si>
    <t xml:space="preserve">Break-even: On-Premise vs Azure</t>
  </si>
  <si>
    <t xml:space="preserve">CUMULATIVE COST BY MONTH</t>
  </si>
  <si>
    <t xml:space="preserve">Month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</si>
</sst>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\$#,##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D3E3B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4A5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BE4B48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Cost Over 36 Months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Comparison!B14</c:f>
              <c:strCache>
                <c:ptCount val="1"/>
                <c:pt idx="0">
                  <c:v>On-Premise</c:v>
                </c:pt>
              </c:strCache>
            </c:strRef>
          </c:tx>
          <c:spPr>
            <a:solidFill>
              <a:srgbClr val="9d3e3b"/>
            </a:solidFill>
            <a:ln w="47520">
              <a:solidFill>
                <a:srgbClr val="9d3e3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Comparison!$A$15:$A$51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Comparison!$B$15:$B$51</c:f>
              <c:numCache>
                <c:formatCode>\$#,##0</c:formatCode>
                <c:ptCount val="37"/>
                <c:pt idx="0">
                  <c:v>8000</c:v>
                </c:pt>
                <c:pt idx="1">
                  <c:v>8120</c:v>
                </c:pt>
                <c:pt idx="2">
                  <c:v>8240</c:v>
                </c:pt>
                <c:pt idx="3">
                  <c:v>8360</c:v>
                </c:pt>
                <c:pt idx="4">
                  <c:v>8480</c:v>
                </c:pt>
                <c:pt idx="5">
                  <c:v>8600</c:v>
                </c:pt>
                <c:pt idx="6">
                  <c:v>8720</c:v>
                </c:pt>
                <c:pt idx="7">
                  <c:v>8840</c:v>
                </c:pt>
                <c:pt idx="8">
                  <c:v>8960</c:v>
                </c:pt>
                <c:pt idx="9">
                  <c:v>9080</c:v>
                </c:pt>
                <c:pt idx="10">
                  <c:v>9200</c:v>
                </c:pt>
                <c:pt idx="11">
                  <c:v>9320</c:v>
                </c:pt>
                <c:pt idx="12">
                  <c:v>9440</c:v>
                </c:pt>
                <c:pt idx="13">
                  <c:v>9560</c:v>
                </c:pt>
                <c:pt idx="14">
                  <c:v>9680</c:v>
                </c:pt>
                <c:pt idx="15">
                  <c:v>9800</c:v>
                </c:pt>
                <c:pt idx="16">
                  <c:v>9920</c:v>
                </c:pt>
                <c:pt idx="17">
                  <c:v>10040</c:v>
                </c:pt>
                <c:pt idx="18">
                  <c:v>10160</c:v>
                </c:pt>
                <c:pt idx="19">
                  <c:v>10280</c:v>
                </c:pt>
                <c:pt idx="20">
                  <c:v>10400</c:v>
                </c:pt>
                <c:pt idx="21">
                  <c:v>10520</c:v>
                </c:pt>
                <c:pt idx="22">
                  <c:v>10640</c:v>
                </c:pt>
                <c:pt idx="23">
                  <c:v>10760</c:v>
                </c:pt>
                <c:pt idx="24">
                  <c:v>10880</c:v>
                </c:pt>
                <c:pt idx="25">
                  <c:v>11000</c:v>
                </c:pt>
                <c:pt idx="26">
                  <c:v>11120</c:v>
                </c:pt>
                <c:pt idx="27">
                  <c:v>11240</c:v>
                </c:pt>
                <c:pt idx="28">
                  <c:v>11360</c:v>
                </c:pt>
                <c:pt idx="29">
                  <c:v>11480</c:v>
                </c:pt>
                <c:pt idx="30">
                  <c:v>11600</c:v>
                </c:pt>
                <c:pt idx="31">
                  <c:v>11720</c:v>
                </c:pt>
                <c:pt idx="32">
                  <c:v>11840</c:v>
                </c:pt>
                <c:pt idx="33">
                  <c:v>11960</c:v>
                </c:pt>
                <c:pt idx="34">
                  <c:v>12080</c:v>
                </c:pt>
                <c:pt idx="35">
                  <c:v>12200</c:v>
                </c:pt>
                <c:pt idx="36">
                  <c:v>12320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Comparison!C14</c:f>
              <c:strCache>
                <c:ptCount val="1"/>
                <c:pt idx="0">
                  <c:v>AWS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Comparison!$A$15:$A$51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Comparison!$C$15:$C$51</c:f>
              <c:numCache>
                <c:formatCode>\$#,##0</c:formatCode>
                <c:ptCount val="37"/>
                <c:pt idx="0">
                  <c:v>0</c:v>
                </c:pt>
                <c:pt idx="1">
                  <c:v>300</c:v>
                </c:pt>
                <c:pt idx="2">
                  <c:v>600</c:v>
                </c:pt>
                <c:pt idx="3">
                  <c:v>900</c:v>
                </c:pt>
                <c:pt idx="4">
                  <c:v>1200</c:v>
                </c:pt>
                <c:pt idx="5">
                  <c:v>1500</c:v>
                </c:pt>
                <c:pt idx="6">
                  <c:v>1800</c:v>
                </c:pt>
                <c:pt idx="7">
                  <c:v>2100</c:v>
                </c:pt>
                <c:pt idx="8">
                  <c:v>2400</c:v>
                </c:pt>
                <c:pt idx="9">
                  <c:v>2700</c:v>
                </c:pt>
                <c:pt idx="10">
                  <c:v>3000</c:v>
                </c:pt>
                <c:pt idx="11">
                  <c:v>3300</c:v>
                </c:pt>
                <c:pt idx="12">
                  <c:v>3600</c:v>
                </c:pt>
                <c:pt idx="13">
                  <c:v>3900</c:v>
                </c:pt>
                <c:pt idx="14">
                  <c:v>4200</c:v>
                </c:pt>
                <c:pt idx="15">
                  <c:v>4500</c:v>
                </c:pt>
                <c:pt idx="16">
                  <c:v>4800</c:v>
                </c:pt>
                <c:pt idx="17">
                  <c:v>5100</c:v>
                </c:pt>
                <c:pt idx="18">
                  <c:v>5400</c:v>
                </c:pt>
                <c:pt idx="19">
                  <c:v>5700</c:v>
                </c:pt>
                <c:pt idx="20">
                  <c:v>6000</c:v>
                </c:pt>
                <c:pt idx="21">
                  <c:v>6300</c:v>
                </c:pt>
                <c:pt idx="22">
                  <c:v>6600</c:v>
                </c:pt>
                <c:pt idx="23">
                  <c:v>6900</c:v>
                </c:pt>
                <c:pt idx="24">
                  <c:v>7200</c:v>
                </c:pt>
                <c:pt idx="25">
                  <c:v>7500</c:v>
                </c:pt>
                <c:pt idx="26">
                  <c:v>7800</c:v>
                </c:pt>
                <c:pt idx="27">
                  <c:v>8100</c:v>
                </c:pt>
                <c:pt idx="28">
                  <c:v>8400</c:v>
                </c:pt>
                <c:pt idx="29">
                  <c:v>8700</c:v>
                </c:pt>
                <c:pt idx="30">
                  <c:v>9000</c:v>
                </c:pt>
                <c:pt idx="31">
                  <c:v>9300</c:v>
                </c:pt>
                <c:pt idx="32">
                  <c:v>9600</c:v>
                </c:pt>
                <c:pt idx="33">
                  <c:v>9900</c:v>
                </c:pt>
                <c:pt idx="34">
                  <c:v>10200</c:v>
                </c:pt>
                <c:pt idx="35">
                  <c:v>10500</c:v>
                </c:pt>
                <c:pt idx="36">
                  <c:v>10800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Comparison!D14</c:f>
              <c:strCache>
                <c:ptCount val="1"/>
                <c:pt idx="0">
                  <c:v>Azure</c:v>
                </c:pt>
              </c:strCache>
            </c:strRef>
          </c:tx>
          <c:spPr>
            <a:solidFill>
              <a:srgbClr val="d4a5a4"/>
            </a:solidFill>
            <a:ln w="47520">
              <a:solidFill>
                <a:srgbClr val="d4a5a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Comparison!$A$15:$A$51</c:f>
              <c:strCache>
                <c:ptCount val="3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</c:strCache>
            </c:strRef>
          </c:cat>
          <c:val>
            <c:numRef>
              <c:f>Comparison!$D$15:$D$51</c:f>
              <c:numCache>
                <c:formatCode>\$#,##0</c:formatCode>
                <c:ptCount val="37"/>
                <c:pt idx="0">
                  <c:v>0</c:v>
                </c:pt>
                <c:pt idx="1">
                  <c:v>310</c:v>
                </c:pt>
                <c:pt idx="2">
                  <c:v>620</c:v>
                </c:pt>
                <c:pt idx="3">
                  <c:v>930</c:v>
                </c:pt>
                <c:pt idx="4">
                  <c:v>1240</c:v>
                </c:pt>
                <c:pt idx="5">
                  <c:v>1550</c:v>
                </c:pt>
                <c:pt idx="6">
                  <c:v>1860</c:v>
                </c:pt>
                <c:pt idx="7">
                  <c:v>2170</c:v>
                </c:pt>
                <c:pt idx="8">
                  <c:v>2480</c:v>
                </c:pt>
                <c:pt idx="9">
                  <c:v>2790</c:v>
                </c:pt>
                <c:pt idx="10">
                  <c:v>3100</c:v>
                </c:pt>
                <c:pt idx="11">
                  <c:v>3410</c:v>
                </c:pt>
                <c:pt idx="12">
                  <c:v>3720</c:v>
                </c:pt>
                <c:pt idx="13">
                  <c:v>4030</c:v>
                </c:pt>
                <c:pt idx="14">
                  <c:v>4340</c:v>
                </c:pt>
                <c:pt idx="15">
                  <c:v>4650</c:v>
                </c:pt>
                <c:pt idx="16">
                  <c:v>4960</c:v>
                </c:pt>
                <c:pt idx="17">
                  <c:v>5270</c:v>
                </c:pt>
                <c:pt idx="18">
                  <c:v>5580</c:v>
                </c:pt>
                <c:pt idx="19">
                  <c:v>5890</c:v>
                </c:pt>
                <c:pt idx="20">
                  <c:v>6200</c:v>
                </c:pt>
                <c:pt idx="21">
                  <c:v>6510</c:v>
                </c:pt>
                <c:pt idx="22">
                  <c:v>6820</c:v>
                </c:pt>
                <c:pt idx="23">
                  <c:v>7130</c:v>
                </c:pt>
                <c:pt idx="24">
                  <c:v>7440</c:v>
                </c:pt>
                <c:pt idx="25">
                  <c:v>7750</c:v>
                </c:pt>
                <c:pt idx="26">
                  <c:v>8060</c:v>
                </c:pt>
                <c:pt idx="27">
                  <c:v>8370</c:v>
                </c:pt>
                <c:pt idx="28">
                  <c:v>8680</c:v>
                </c:pt>
                <c:pt idx="29">
                  <c:v>8990</c:v>
                </c:pt>
                <c:pt idx="30">
                  <c:v>9300</c:v>
                </c:pt>
                <c:pt idx="31">
                  <c:v>9610</c:v>
                </c:pt>
                <c:pt idx="32">
                  <c:v>9920</c:v>
                </c:pt>
                <c:pt idx="33">
                  <c:v>10230</c:v>
                </c:pt>
                <c:pt idx="34">
                  <c:v>10540</c:v>
                </c:pt>
                <c:pt idx="35">
                  <c:v>10850</c:v>
                </c:pt>
                <c:pt idx="36">
                  <c:v>11160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22724374"/>
        <c:axId val="42185579"/>
      </c:lineChart>
      <c:catAx>
        <c:axId val="2272437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185579"/>
        <c:crosses val="autoZero"/>
        <c:auto val="1"/>
        <c:lblAlgn val="ctr"/>
        <c:lblOffset val="100"/>
        <c:noMultiLvlLbl val="0"/>
      </c:catAx>
      <c:valAx>
        <c:axId val="42185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Cumulative Cost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243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160560</xdr:rowOff>
    </xdr:from>
    <xdr:to>
      <xdr:col>15</xdr:col>
      <xdr:colOff>4680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568656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/>
    </row>
    <row r="5" customFormat="false" ht="15" hidden="false" customHeight="false" outlineLevel="0" collapsed="false">
      <c r="A5" s="4" t="s">
        <v>3</v>
      </c>
      <c r="B5" s="5" t="n">
        <v>3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s">
        <v>6</v>
      </c>
      <c r="C6" s="6"/>
    </row>
    <row r="7" customFormat="false" ht="15" hidden="false" customHeight="false" outlineLevel="0" collapsed="false">
      <c r="A7" s="8" t="s">
        <v>7</v>
      </c>
      <c r="B7" s="9" t="n">
        <f aca="false">B5*12</f>
        <v>36</v>
      </c>
    </row>
  </sheetData>
  <mergeCells count="3">
    <mergeCell ref="A1:D1"/>
    <mergeCell ref="A2:D2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8</v>
      </c>
      <c r="B1" s="1"/>
      <c r="C1" s="1"/>
    </row>
    <row r="3" customFormat="false" ht="15" hidden="false" customHeight="false" outlineLevel="0" collapsed="false">
      <c r="A3" s="3" t="s">
        <v>9</v>
      </c>
      <c r="B3" s="3"/>
      <c r="C3" s="3"/>
    </row>
    <row r="4" customFormat="false" ht="15" hidden="false" customHeight="false" outlineLevel="0" collapsed="false">
      <c r="A4" s="10" t="s">
        <v>10</v>
      </c>
      <c r="B4" s="10"/>
      <c r="C4" s="10" t="s">
        <v>11</v>
      </c>
    </row>
    <row r="5" customFormat="false" ht="15" hidden="false" customHeight="false" outlineLevel="0" collapsed="false">
      <c r="A5" s="11" t="s">
        <v>12</v>
      </c>
      <c r="B5" s="12"/>
      <c r="C5" s="13" t="n">
        <v>5000</v>
      </c>
    </row>
    <row r="6" customFormat="false" ht="15" hidden="false" customHeight="false" outlineLevel="0" collapsed="false">
      <c r="A6" s="11" t="s">
        <v>13</v>
      </c>
      <c r="B6" s="12"/>
      <c r="C6" s="13" t="n">
        <v>1800</v>
      </c>
    </row>
    <row r="7" customFormat="false" ht="15" hidden="false" customHeight="false" outlineLevel="0" collapsed="false">
      <c r="A7" s="11" t="s">
        <v>14</v>
      </c>
      <c r="B7" s="12"/>
      <c r="C7" s="13" t="n">
        <v>1200</v>
      </c>
    </row>
    <row r="8" customFormat="false" ht="15" hidden="false" customHeight="false" outlineLevel="0" collapsed="false">
      <c r="A8" s="8" t="s">
        <v>15</v>
      </c>
      <c r="C8" s="14" t="n">
        <f aca="false">SUM(C5:C7)</f>
        <v>8000</v>
      </c>
    </row>
    <row r="10" customFormat="false" ht="15" hidden="false" customHeight="false" outlineLevel="0" collapsed="false">
      <c r="A10" s="3" t="s">
        <v>16</v>
      </c>
      <c r="B10" s="3"/>
      <c r="C10" s="3"/>
    </row>
    <row r="11" customFormat="false" ht="15" hidden="false" customHeight="false" outlineLevel="0" collapsed="false">
      <c r="A11" s="10" t="s">
        <v>10</v>
      </c>
      <c r="B11" s="10"/>
      <c r="C11" s="10" t="s">
        <v>17</v>
      </c>
    </row>
    <row r="12" customFormat="false" ht="15" hidden="false" customHeight="false" outlineLevel="0" collapsed="false">
      <c r="A12" s="11" t="s">
        <v>18</v>
      </c>
      <c r="B12" s="12"/>
      <c r="C12" s="13" t="n">
        <v>40</v>
      </c>
    </row>
    <row r="13" customFormat="false" ht="15" hidden="false" customHeight="false" outlineLevel="0" collapsed="false">
      <c r="A13" s="11" t="s">
        <v>19</v>
      </c>
      <c r="B13" s="12"/>
      <c r="C13" s="13" t="n">
        <v>40</v>
      </c>
    </row>
    <row r="14" customFormat="false" ht="15" hidden="false" customHeight="false" outlineLevel="0" collapsed="false">
      <c r="A14" s="11" t="s">
        <v>20</v>
      </c>
      <c r="B14" s="12"/>
      <c r="C14" s="13" t="n">
        <v>25</v>
      </c>
    </row>
    <row r="15" customFormat="false" ht="15" hidden="false" customHeight="false" outlineLevel="0" collapsed="false">
      <c r="A15" s="11" t="s">
        <v>21</v>
      </c>
      <c r="B15" s="12"/>
      <c r="C15" s="13" t="n">
        <v>15</v>
      </c>
    </row>
    <row r="16" customFormat="false" ht="15" hidden="false" customHeight="false" outlineLevel="0" collapsed="false">
      <c r="A16" s="8" t="s">
        <v>22</v>
      </c>
      <c r="C16" s="14" t="n">
        <f aca="false">SUM(C12:C15)</f>
        <v>120</v>
      </c>
    </row>
    <row r="18" customFormat="false" ht="15" hidden="false" customHeight="false" outlineLevel="0" collapsed="false">
      <c r="A18" s="8" t="s">
        <v>23</v>
      </c>
      <c r="C18" s="15" t="n">
        <f aca="false">'On-Premise'!$C$16*12</f>
        <v>1440</v>
      </c>
    </row>
    <row r="19" customFormat="false" ht="15" hidden="false" customHeight="false" outlineLevel="0" collapsed="false">
      <c r="A19" s="16" t="s">
        <v>24</v>
      </c>
      <c r="B19" s="16"/>
      <c r="C19" s="17" t="n">
        <f aca="false">'On-Premise'!$C$8+'On-Premise'!$C$16*Assumptions!$B$7</f>
        <v>12320</v>
      </c>
    </row>
  </sheetData>
  <mergeCells count="4">
    <mergeCell ref="A1:C1"/>
    <mergeCell ref="A3:C3"/>
    <mergeCell ref="A10:C10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25</v>
      </c>
      <c r="B1" s="1"/>
      <c r="C1" s="1"/>
    </row>
    <row r="3" customFormat="false" ht="15" hidden="false" customHeight="false" outlineLevel="0" collapsed="false">
      <c r="A3" s="3" t="s">
        <v>9</v>
      </c>
      <c r="B3" s="3"/>
      <c r="C3" s="3"/>
    </row>
    <row r="4" customFormat="false" ht="15" hidden="false" customHeight="false" outlineLevel="0" collapsed="false">
      <c r="A4" s="10" t="s">
        <v>10</v>
      </c>
      <c r="B4" s="10"/>
      <c r="C4" s="10" t="s">
        <v>11</v>
      </c>
    </row>
    <row r="5" customFormat="false" ht="15" hidden="false" customHeight="false" outlineLevel="0" collapsed="false">
      <c r="A5" s="11" t="s">
        <v>26</v>
      </c>
      <c r="B5" s="12"/>
      <c r="C5" s="13" t="n">
        <v>0</v>
      </c>
    </row>
    <row r="6" customFormat="false" ht="15" hidden="false" customHeight="false" outlineLevel="0" collapsed="false">
      <c r="A6" s="8" t="s">
        <v>15</v>
      </c>
      <c r="C6" s="14" t="n">
        <f aca="false">SUM(C5:C5)</f>
        <v>0</v>
      </c>
    </row>
    <row r="8" customFormat="false" ht="15" hidden="false" customHeight="false" outlineLevel="0" collapsed="false">
      <c r="A8" s="3" t="s">
        <v>16</v>
      </c>
      <c r="B8" s="3"/>
      <c r="C8" s="3"/>
    </row>
    <row r="9" customFormat="false" ht="15" hidden="false" customHeight="false" outlineLevel="0" collapsed="false">
      <c r="A9" s="10" t="s">
        <v>10</v>
      </c>
      <c r="B9" s="10"/>
      <c r="C9" s="10" t="s">
        <v>17</v>
      </c>
    </row>
    <row r="10" customFormat="false" ht="15" hidden="false" customHeight="false" outlineLevel="0" collapsed="false">
      <c r="A10" s="11" t="s">
        <v>27</v>
      </c>
      <c r="B10" s="12"/>
      <c r="C10" s="13" t="n">
        <v>200</v>
      </c>
    </row>
    <row r="11" customFormat="false" ht="15" hidden="false" customHeight="false" outlineLevel="0" collapsed="false">
      <c r="A11" s="11" t="s">
        <v>28</v>
      </c>
      <c r="B11" s="12"/>
      <c r="C11" s="13" t="n">
        <v>30</v>
      </c>
    </row>
    <row r="12" customFormat="false" ht="15" hidden="false" customHeight="false" outlineLevel="0" collapsed="false">
      <c r="A12" s="11" t="s">
        <v>29</v>
      </c>
      <c r="B12" s="12"/>
      <c r="C12" s="13" t="n">
        <v>40</v>
      </c>
    </row>
    <row r="13" customFormat="false" ht="15" hidden="false" customHeight="false" outlineLevel="0" collapsed="false">
      <c r="A13" s="11" t="s">
        <v>30</v>
      </c>
      <c r="B13" s="12"/>
      <c r="C13" s="13" t="n">
        <v>30</v>
      </c>
    </row>
    <row r="14" customFormat="false" ht="15" hidden="false" customHeight="false" outlineLevel="0" collapsed="false">
      <c r="A14" s="8" t="s">
        <v>22</v>
      </c>
      <c r="C14" s="14" t="n">
        <f aca="false">SUM(C10:C13)</f>
        <v>300</v>
      </c>
    </row>
    <row r="16" customFormat="false" ht="15" hidden="false" customHeight="false" outlineLevel="0" collapsed="false">
      <c r="A16" s="8" t="s">
        <v>23</v>
      </c>
      <c r="C16" s="15" t="n">
        <f aca="false">AWS!$C$14*12</f>
        <v>3600</v>
      </c>
    </row>
    <row r="17" customFormat="false" ht="15" hidden="false" customHeight="false" outlineLevel="0" collapsed="false">
      <c r="A17" s="16" t="s">
        <v>24</v>
      </c>
      <c r="B17" s="16"/>
      <c r="C17" s="17" t="n">
        <f aca="false">AWS!$C$6+AWS!$C$14*Assumptions!$B$7</f>
        <v>10800</v>
      </c>
    </row>
  </sheetData>
  <mergeCells count="4">
    <mergeCell ref="A1:C1"/>
    <mergeCell ref="A3:C3"/>
    <mergeCell ref="A8:C8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3" min="3" style="0" width="16"/>
  </cols>
  <sheetData>
    <row r="1" customFormat="false" ht="17.35" hidden="false" customHeight="false" outlineLevel="0" collapsed="false">
      <c r="A1" s="1" t="s">
        <v>31</v>
      </c>
      <c r="B1" s="1"/>
      <c r="C1" s="1"/>
    </row>
    <row r="3" customFormat="false" ht="15" hidden="false" customHeight="false" outlineLevel="0" collapsed="false">
      <c r="A3" s="3" t="s">
        <v>9</v>
      </c>
      <c r="B3" s="3"/>
      <c r="C3" s="3"/>
    </row>
    <row r="4" customFormat="false" ht="15" hidden="false" customHeight="false" outlineLevel="0" collapsed="false">
      <c r="A4" s="10" t="s">
        <v>10</v>
      </c>
      <c r="B4" s="10"/>
      <c r="C4" s="10" t="s">
        <v>11</v>
      </c>
    </row>
    <row r="5" customFormat="false" ht="15" hidden="false" customHeight="false" outlineLevel="0" collapsed="false">
      <c r="A5" s="11" t="s">
        <v>26</v>
      </c>
      <c r="B5" s="12"/>
      <c r="C5" s="13" t="n">
        <v>0</v>
      </c>
    </row>
    <row r="6" customFormat="false" ht="15" hidden="false" customHeight="false" outlineLevel="0" collapsed="false">
      <c r="A6" s="8" t="s">
        <v>15</v>
      </c>
      <c r="C6" s="14" t="n">
        <f aca="false">SUM(C5:C5)</f>
        <v>0</v>
      </c>
    </row>
    <row r="8" customFormat="false" ht="15" hidden="false" customHeight="false" outlineLevel="0" collapsed="false">
      <c r="A8" s="3" t="s">
        <v>16</v>
      </c>
      <c r="B8" s="3"/>
      <c r="C8" s="3"/>
    </row>
    <row r="9" customFormat="false" ht="15" hidden="false" customHeight="false" outlineLevel="0" collapsed="false">
      <c r="A9" s="10" t="s">
        <v>10</v>
      </c>
      <c r="B9" s="10"/>
      <c r="C9" s="10" t="s">
        <v>17</v>
      </c>
    </row>
    <row r="10" customFormat="false" ht="15" hidden="false" customHeight="false" outlineLevel="0" collapsed="false">
      <c r="A10" s="11" t="s">
        <v>32</v>
      </c>
      <c r="B10" s="12"/>
      <c r="C10" s="13" t="n">
        <v>210</v>
      </c>
    </row>
    <row r="11" customFormat="false" ht="15" hidden="false" customHeight="false" outlineLevel="0" collapsed="false">
      <c r="A11" s="11" t="s">
        <v>33</v>
      </c>
      <c r="B11" s="12"/>
      <c r="C11" s="13" t="n">
        <v>32</v>
      </c>
    </row>
    <row r="12" customFormat="false" ht="15" hidden="false" customHeight="false" outlineLevel="0" collapsed="false">
      <c r="A12" s="11" t="s">
        <v>34</v>
      </c>
      <c r="B12" s="12"/>
      <c r="C12" s="13" t="n">
        <v>38</v>
      </c>
    </row>
    <row r="13" customFormat="false" ht="15" hidden="false" customHeight="false" outlineLevel="0" collapsed="false">
      <c r="A13" s="11" t="s">
        <v>30</v>
      </c>
      <c r="B13" s="12"/>
      <c r="C13" s="13" t="n">
        <v>30</v>
      </c>
    </row>
    <row r="14" customFormat="false" ht="15" hidden="false" customHeight="false" outlineLevel="0" collapsed="false">
      <c r="A14" s="8" t="s">
        <v>22</v>
      </c>
      <c r="C14" s="14" t="n">
        <f aca="false">SUM(C10:C13)</f>
        <v>310</v>
      </c>
    </row>
    <row r="16" customFormat="false" ht="15" hidden="false" customHeight="false" outlineLevel="0" collapsed="false">
      <c r="A16" s="8" t="s">
        <v>23</v>
      </c>
      <c r="C16" s="15" t="n">
        <f aca="false">Azure!$C$14*12</f>
        <v>3720</v>
      </c>
    </row>
    <row r="17" customFormat="false" ht="15" hidden="false" customHeight="false" outlineLevel="0" collapsed="false">
      <c r="A17" s="16" t="s">
        <v>24</v>
      </c>
      <c r="B17" s="16"/>
      <c r="C17" s="17" t="n">
        <f aca="false">Azure!$C$6+Azure!$C$14*Assumptions!$B$7</f>
        <v>11160</v>
      </c>
    </row>
  </sheetData>
  <mergeCells count="4">
    <mergeCell ref="A1:C1"/>
    <mergeCell ref="A3:C3"/>
    <mergeCell ref="A8:C8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4" min="3" style="0" width="14"/>
  </cols>
  <sheetData>
    <row r="1" customFormat="false" ht="17.35" hidden="false" customHeight="false" outlineLevel="0" collapsed="false">
      <c r="A1" s="1" t="s">
        <v>35</v>
      </c>
      <c r="B1" s="1"/>
      <c r="C1" s="1"/>
      <c r="D1" s="1"/>
      <c r="E1" s="1"/>
    </row>
    <row r="3" customFormat="false" ht="15" hidden="false" customHeight="false" outlineLevel="0" collapsed="false">
      <c r="A3" s="10" t="s">
        <v>36</v>
      </c>
      <c r="B3" s="10" t="s">
        <v>37</v>
      </c>
      <c r="C3" s="10" t="s">
        <v>38</v>
      </c>
      <c r="D3" s="10" t="s">
        <v>39</v>
      </c>
    </row>
    <row r="4" customFormat="false" ht="15" hidden="false" customHeight="false" outlineLevel="0" collapsed="false">
      <c r="A4" s="18" t="s">
        <v>40</v>
      </c>
      <c r="B4" s="19" t="n">
        <f aca="false">'On-Premise'!$C$8</f>
        <v>8000</v>
      </c>
      <c r="C4" s="19" t="n">
        <f aca="false">AWS!$C$6</f>
        <v>0</v>
      </c>
      <c r="D4" s="19" t="n">
        <f aca="false">Azure!$C$6</f>
        <v>0</v>
      </c>
    </row>
    <row r="5" customFormat="false" ht="15" hidden="false" customHeight="false" outlineLevel="0" collapsed="false">
      <c r="A5" s="18" t="s">
        <v>41</v>
      </c>
      <c r="B5" s="19" t="n">
        <f aca="false">'On-Premise'!$C$16</f>
        <v>120</v>
      </c>
      <c r="C5" s="19" t="n">
        <f aca="false">AWS!$C$14</f>
        <v>300</v>
      </c>
      <c r="D5" s="19" t="n">
        <f aca="false">Azure!$C$14</f>
        <v>310</v>
      </c>
    </row>
    <row r="6" customFormat="false" ht="15" hidden="false" customHeight="false" outlineLevel="0" collapsed="false">
      <c r="A6" s="18" t="s">
        <v>42</v>
      </c>
      <c r="B6" s="19" t="n">
        <f aca="false">'On-Premise'!$C$16*12</f>
        <v>1440</v>
      </c>
      <c r="C6" s="19" t="n">
        <f aca="false">AWS!$C$14*12</f>
        <v>3600</v>
      </c>
      <c r="D6" s="19" t="n">
        <f aca="false">Azure!$C$14*12</f>
        <v>3720</v>
      </c>
    </row>
    <row r="7" customFormat="false" ht="15" hidden="false" customHeight="false" outlineLevel="0" collapsed="false">
      <c r="A7" s="18" t="s">
        <v>43</v>
      </c>
      <c r="B7" s="19" t="n">
        <f aca="false">'On-Premise'!$C$19</f>
        <v>12320</v>
      </c>
      <c r="C7" s="19" t="n">
        <f aca="false">AWS!$C$17</f>
        <v>10800</v>
      </c>
      <c r="D7" s="19" t="n">
        <f aca="false">Azure!$C$17</f>
        <v>11160</v>
      </c>
    </row>
    <row r="9" customFormat="false" ht="15" hidden="false" customHeight="false" outlineLevel="0" collapsed="false">
      <c r="A9" s="8" t="s">
        <v>44</v>
      </c>
      <c r="B9" s="20" t="str">
        <f aca="false">INDEX(B3:D3,MATCH(MIN(B7:D7),B7:D7,0))</f>
        <v>AWS</v>
      </c>
      <c r="C9" s="20"/>
      <c r="D9" s="20"/>
    </row>
    <row r="10" customFormat="false" ht="15" hidden="false" customHeight="false" outlineLevel="0" collapsed="false">
      <c r="A10" s="8" t="s">
        <v>45</v>
      </c>
      <c r="B10" s="21" t="n">
        <f aca="false">IF(AWS!$C$14&gt;'On-Premise'!$C$16, 'On-Premise'!$C$8/(AWS!$C$14-'On-Premise'!$C$16), "Cloud always cheaper")</f>
        <v>44.4444444444444</v>
      </c>
      <c r="C10" s="6" t="s">
        <v>46</v>
      </c>
    </row>
    <row r="11" customFormat="false" ht="15" hidden="false" customHeight="false" outlineLevel="0" collapsed="false">
      <c r="A11" s="8" t="s">
        <v>47</v>
      </c>
      <c r="B11" s="21" t="n">
        <f aca="false">IF(Azure!$C$14&gt;'On-Premise'!$C$16, 'On-Premise'!$C$8/(Azure!$C$14-'On-Premise'!$C$16), "Cloud always cheaper")</f>
        <v>42.1052631578947</v>
      </c>
      <c r="C11" s="6" t="s">
        <v>46</v>
      </c>
    </row>
    <row r="13" customFormat="false" ht="15" hidden="false" customHeight="false" outlineLevel="0" collapsed="false">
      <c r="A13" s="3" t="s">
        <v>48</v>
      </c>
      <c r="B13" s="3"/>
      <c r="C13" s="3"/>
      <c r="D13" s="3"/>
    </row>
    <row r="14" customFormat="false" ht="15" hidden="false" customHeight="false" outlineLevel="0" collapsed="false">
      <c r="A14" s="10" t="s">
        <v>49</v>
      </c>
      <c r="B14" s="10" t="s">
        <v>37</v>
      </c>
      <c r="C14" s="10" t="s">
        <v>38</v>
      </c>
      <c r="D14" s="10" t="s">
        <v>39</v>
      </c>
    </row>
    <row r="15" customFormat="false" ht="15" hidden="false" customHeight="false" outlineLevel="0" collapsed="false">
      <c r="A15" s="22" t="n">
        <v>0</v>
      </c>
      <c r="B15" s="15" t="n">
        <f aca="false">'On-Premise'!$C$8+'On-Premise'!$C$16*A15</f>
        <v>8000</v>
      </c>
      <c r="C15" s="15" t="n">
        <f aca="false">AWS!$C$6+AWS!$C$14*A15</f>
        <v>0</v>
      </c>
      <c r="D15" s="15" t="n">
        <f aca="false">Azure!$C$6+Azure!$C$14*A15</f>
        <v>0</v>
      </c>
    </row>
    <row r="16" customFormat="false" ht="15" hidden="false" customHeight="false" outlineLevel="0" collapsed="false">
      <c r="A16" s="22" t="n">
        <v>1</v>
      </c>
      <c r="B16" s="15" t="n">
        <f aca="false">'On-Premise'!$C$8+'On-Premise'!$C$16*A16</f>
        <v>8120</v>
      </c>
      <c r="C16" s="15" t="n">
        <f aca="false">AWS!$C$6+AWS!$C$14*A16</f>
        <v>300</v>
      </c>
      <c r="D16" s="15" t="n">
        <f aca="false">Azure!$C$6+Azure!$C$14*A16</f>
        <v>310</v>
      </c>
    </row>
    <row r="17" customFormat="false" ht="15" hidden="false" customHeight="false" outlineLevel="0" collapsed="false">
      <c r="A17" s="22" t="n">
        <v>2</v>
      </c>
      <c r="B17" s="15" t="n">
        <f aca="false">'On-Premise'!$C$8+'On-Premise'!$C$16*A17</f>
        <v>8240</v>
      </c>
      <c r="C17" s="15" t="n">
        <f aca="false">AWS!$C$6+AWS!$C$14*A17</f>
        <v>600</v>
      </c>
      <c r="D17" s="15" t="n">
        <f aca="false">Azure!$C$6+Azure!$C$14*A17</f>
        <v>620</v>
      </c>
    </row>
    <row r="18" customFormat="false" ht="15" hidden="false" customHeight="false" outlineLevel="0" collapsed="false">
      <c r="A18" s="22" t="n">
        <v>3</v>
      </c>
      <c r="B18" s="15" t="n">
        <f aca="false">'On-Premise'!$C$8+'On-Premise'!$C$16*A18</f>
        <v>8360</v>
      </c>
      <c r="C18" s="15" t="n">
        <f aca="false">AWS!$C$6+AWS!$C$14*A18</f>
        <v>900</v>
      </c>
      <c r="D18" s="15" t="n">
        <f aca="false">Azure!$C$6+Azure!$C$14*A18</f>
        <v>930</v>
      </c>
    </row>
    <row r="19" customFormat="false" ht="15" hidden="false" customHeight="false" outlineLevel="0" collapsed="false">
      <c r="A19" s="22" t="n">
        <v>4</v>
      </c>
      <c r="B19" s="15" t="n">
        <f aca="false">'On-Premise'!$C$8+'On-Premise'!$C$16*A19</f>
        <v>8480</v>
      </c>
      <c r="C19" s="15" t="n">
        <f aca="false">AWS!$C$6+AWS!$C$14*A19</f>
        <v>1200</v>
      </c>
      <c r="D19" s="15" t="n">
        <f aca="false">Azure!$C$6+Azure!$C$14*A19</f>
        <v>1240</v>
      </c>
    </row>
    <row r="20" customFormat="false" ht="15" hidden="false" customHeight="false" outlineLevel="0" collapsed="false">
      <c r="A20" s="22" t="n">
        <v>5</v>
      </c>
      <c r="B20" s="15" t="n">
        <f aca="false">'On-Premise'!$C$8+'On-Premise'!$C$16*A20</f>
        <v>8600</v>
      </c>
      <c r="C20" s="15" t="n">
        <f aca="false">AWS!$C$6+AWS!$C$14*A20</f>
        <v>1500</v>
      </c>
      <c r="D20" s="15" t="n">
        <f aca="false">Azure!$C$6+Azure!$C$14*A20</f>
        <v>1550</v>
      </c>
    </row>
    <row r="21" customFormat="false" ht="15" hidden="false" customHeight="false" outlineLevel="0" collapsed="false">
      <c r="A21" s="22" t="n">
        <v>6</v>
      </c>
      <c r="B21" s="15" t="n">
        <f aca="false">'On-Premise'!$C$8+'On-Premise'!$C$16*A21</f>
        <v>8720</v>
      </c>
      <c r="C21" s="15" t="n">
        <f aca="false">AWS!$C$6+AWS!$C$14*A21</f>
        <v>1800</v>
      </c>
      <c r="D21" s="15" t="n">
        <f aca="false">Azure!$C$6+Azure!$C$14*A21</f>
        <v>1860</v>
      </c>
    </row>
    <row r="22" customFormat="false" ht="15" hidden="false" customHeight="false" outlineLevel="0" collapsed="false">
      <c r="A22" s="22" t="n">
        <v>7</v>
      </c>
      <c r="B22" s="15" t="n">
        <f aca="false">'On-Premise'!$C$8+'On-Premise'!$C$16*A22</f>
        <v>8840</v>
      </c>
      <c r="C22" s="15" t="n">
        <f aca="false">AWS!$C$6+AWS!$C$14*A22</f>
        <v>2100</v>
      </c>
      <c r="D22" s="15" t="n">
        <f aca="false">Azure!$C$6+Azure!$C$14*A22</f>
        <v>2170</v>
      </c>
    </row>
    <row r="23" customFormat="false" ht="15" hidden="false" customHeight="false" outlineLevel="0" collapsed="false">
      <c r="A23" s="22" t="n">
        <v>8</v>
      </c>
      <c r="B23" s="15" t="n">
        <f aca="false">'On-Premise'!$C$8+'On-Premise'!$C$16*A23</f>
        <v>8960</v>
      </c>
      <c r="C23" s="15" t="n">
        <f aca="false">AWS!$C$6+AWS!$C$14*A23</f>
        <v>2400</v>
      </c>
      <c r="D23" s="15" t="n">
        <f aca="false">Azure!$C$6+Azure!$C$14*A23</f>
        <v>2480</v>
      </c>
    </row>
    <row r="24" customFormat="false" ht="15" hidden="false" customHeight="false" outlineLevel="0" collapsed="false">
      <c r="A24" s="22" t="n">
        <v>9</v>
      </c>
      <c r="B24" s="15" t="n">
        <f aca="false">'On-Premise'!$C$8+'On-Premise'!$C$16*A24</f>
        <v>9080</v>
      </c>
      <c r="C24" s="15" t="n">
        <f aca="false">AWS!$C$6+AWS!$C$14*A24</f>
        <v>2700</v>
      </c>
      <c r="D24" s="15" t="n">
        <f aca="false">Azure!$C$6+Azure!$C$14*A24</f>
        <v>2790</v>
      </c>
    </row>
    <row r="25" customFormat="false" ht="15" hidden="false" customHeight="false" outlineLevel="0" collapsed="false">
      <c r="A25" s="22" t="n">
        <v>10</v>
      </c>
      <c r="B25" s="15" t="n">
        <f aca="false">'On-Premise'!$C$8+'On-Premise'!$C$16*A25</f>
        <v>9200</v>
      </c>
      <c r="C25" s="15" t="n">
        <f aca="false">AWS!$C$6+AWS!$C$14*A25</f>
        <v>3000</v>
      </c>
      <c r="D25" s="15" t="n">
        <f aca="false">Azure!$C$6+Azure!$C$14*A25</f>
        <v>3100</v>
      </c>
    </row>
    <row r="26" customFormat="false" ht="15" hidden="false" customHeight="false" outlineLevel="0" collapsed="false">
      <c r="A26" s="22" t="n">
        <v>11</v>
      </c>
      <c r="B26" s="15" t="n">
        <f aca="false">'On-Premise'!$C$8+'On-Premise'!$C$16*A26</f>
        <v>9320</v>
      </c>
      <c r="C26" s="15" t="n">
        <f aca="false">AWS!$C$6+AWS!$C$14*A26</f>
        <v>3300</v>
      </c>
      <c r="D26" s="15" t="n">
        <f aca="false">Azure!$C$6+Azure!$C$14*A26</f>
        <v>3410</v>
      </c>
    </row>
    <row r="27" customFormat="false" ht="15" hidden="false" customHeight="false" outlineLevel="0" collapsed="false">
      <c r="A27" s="22" t="n">
        <v>12</v>
      </c>
      <c r="B27" s="15" t="n">
        <f aca="false">'On-Premise'!$C$8+'On-Premise'!$C$16*A27</f>
        <v>9440</v>
      </c>
      <c r="C27" s="15" t="n">
        <f aca="false">AWS!$C$6+AWS!$C$14*A27</f>
        <v>3600</v>
      </c>
      <c r="D27" s="15" t="n">
        <f aca="false">Azure!$C$6+Azure!$C$14*A27</f>
        <v>3720</v>
      </c>
    </row>
    <row r="28" customFormat="false" ht="15" hidden="false" customHeight="false" outlineLevel="0" collapsed="false">
      <c r="A28" s="22" t="n">
        <v>13</v>
      </c>
      <c r="B28" s="15" t="n">
        <f aca="false">'On-Premise'!$C$8+'On-Premise'!$C$16*A28</f>
        <v>9560</v>
      </c>
      <c r="C28" s="15" t="n">
        <f aca="false">AWS!$C$6+AWS!$C$14*A28</f>
        <v>3900</v>
      </c>
      <c r="D28" s="15" t="n">
        <f aca="false">Azure!$C$6+Azure!$C$14*A28</f>
        <v>4030</v>
      </c>
    </row>
    <row r="29" customFormat="false" ht="15" hidden="false" customHeight="false" outlineLevel="0" collapsed="false">
      <c r="A29" s="22" t="n">
        <v>14</v>
      </c>
      <c r="B29" s="15" t="n">
        <f aca="false">'On-Premise'!$C$8+'On-Premise'!$C$16*A29</f>
        <v>9680</v>
      </c>
      <c r="C29" s="15" t="n">
        <f aca="false">AWS!$C$6+AWS!$C$14*A29</f>
        <v>4200</v>
      </c>
      <c r="D29" s="15" t="n">
        <f aca="false">Azure!$C$6+Azure!$C$14*A29</f>
        <v>4340</v>
      </c>
    </row>
    <row r="30" customFormat="false" ht="15" hidden="false" customHeight="false" outlineLevel="0" collapsed="false">
      <c r="A30" s="22" t="n">
        <v>15</v>
      </c>
      <c r="B30" s="15" t="n">
        <f aca="false">'On-Premise'!$C$8+'On-Premise'!$C$16*A30</f>
        <v>9800</v>
      </c>
      <c r="C30" s="15" t="n">
        <f aca="false">AWS!$C$6+AWS!$C$14*A30</f>
        <v>4500</v>
      </c>
      <c r="D30" s="15" t="n">
        <f aca="false">Azure!$C$6+Azure!$C$14*A30</f>
        <v>4650</v>
      </c>
    </row>
    <row r="31" customFormat="false" ht="15" hidden="false" customHeight="false" outlineLevel="0" collapsed="false">
      <c r="A31" s="22" t="n">
        <v>16</v>
      </c>
      <c r="B31" s="15" t="n">
        <f aca="false">'On-Premise'!$C$8+'On-Premise'!$C$16*A31</f>
        <v>9920</v>
      </c>
      <c r="C31" s="15" t="n">
        <f aca="false">AWS!$C$6+AWS!$C$14*A31</f>
        <v>4800</v>
      </c>
      <c r="D31" s="15" t="n">
        <f aca="false">Azure!$C$6+Azure!$C$14*A31</f>
        <v>4960</v>
      </c>
    </row>
    <row r="32" customFormat="false" ht="15" hidden="false" customHeight="false" outlineLevel="0" collapsed="false">
      <c r="A32" s="22" t="n">
        <v>17</v>
      </c>
      <c r="B32" s="15" t="n">
        <f aca="false">'On-Premise'!$C$8+'On-Premise'!$C$16*A32</f>
        <v>10040</v>
      </c>
      <c r="C32" s="15" t="n">
        <f aca="false">AWS!$C$6+AWS!$C$14*A32</f>
        <v>5100</v>
      </c>
      <c r="D32" s="15" t="n">
        <f aca="false">Azure!$C$6+Azure!$C$14*A32</f>
        <v>5270</v>
      </c>
    </row>
    <row r="33" customFormat="false" ht="15" hidden="false" customHeight="false" outlineLevel="0" collapsed="false">
      <c r="A33" s="22" t="n">
        <v>18</v>
      </c>
      <c r="B33" s="15" t="n">
        <f aca="false">'On-Premise'!$C$8+'On-Premise'!$C$16*A33</f>
        <v>10160</v>
      </c>
      <c r="C33" s="15" t="n">
        <f aca="false">AWS!$C$6+AWS!$C$14*A33</f>
        <v>5400</v>
      </c>
      <c r="D33" s="15" t="n">
        <f aca="false">Azure!$C$6+Azure!$C$14*A33</f>
        <v>5580</v>
      </c>
    </row>
    <row r="34" customFormat="false" ht="15" hidden="false" customHeight="false" outlineLevel="0" collapsed="false">
      <c r="A34" s="22" t="n">
        <v>19</v>
      </c>
      <c r="B34" s="15" t="n">
        <f aca="false">'On-Premise'!$C$8+'On-Premise'!$C$16*A34</f>
        <v>10280</v>
      </c>
      <c r="C34" s="15" t="n">
        <f aca="false">AWS!$C$6+AWS!$C$14*A34</f>
        <v>5700</v>
      </c>
      <c r="D34" s="15" t="n">
        <f aca="false">Azure!$C$6+Azure!$C$14*A34</f>
        <v>5890</v>
      </c>
    </row>
    <row r="35" customFormat="false" ht="15" hidden="false" customHeight="false" outlineLevel="0" collapsed="false">
      <c r="A35" s="22" t="n">
        <v>20</v>
      </c>
      <c r="B35" s="15" t="n">
        <f aca="false">'On-Premise'!$C$8+'On-Premise'!$C$16*A35</f>
        <v>10400</v>
      </c>
      <c r="C35" s="15" t="n">
        <f aca="false">AWS!$C$6+AWS!$C$14*A35</f>
        <v>6000</v>
      </c>
      <c r="D35" s="15" t="n">
        <f aca="false">Azure!$C$6+Azure!$C$14*A35</f>
        <v>6200</v>
      </c>
    </row>
    <row r="36" customFormat="false" ht="15" hidden="false" customHeight="false" outlineLevel="0" collapsed="false">
      <c r="A36" s="22" t="n">
        <v>21</v>
      </c>
      <c r="B36" s="15" t="n">
        <f aca="false">'On-Premise'!$C$8+'On-Premise'!$C$16*A36</f>
        <v>10520</v>
      </c>
      <c r="C36" s="15" t="n">
        <f aca="false">AWS!$C$6+AWS!$C$14*A36</f>
        <v>6300</v>
      </c>
      <c r="D36" s="15" t="n">
        <f aca="false">Azure!$C$6+Azure!$C$14*A36</f>
        <v>6510</v>
      </c>
    </row>
    <row r="37" customFormat="false" ht="15" hidden="false" customHeight="false" outlineLevel="0" collapsed="false">
      <c r="A37" s="22" t="n">
        <v>22</v>
      </c>
      <c r="B37" s="15" t="n">
        <f aca="false">'On-Premise'!$C$8+'On-Premise'!$C$16*A37</f>
        <v>10640</v>
      </c>
      <c r="C37" s="15" t="n">
        <f aca="false">AWS!$C$6+AWS!$C$14*A37</f>
        <v>6600</v>
      </c>
      <c r="D37" s="15" t="n">
        <f aca="false">Azure!$C$6+Azure!$C$14*A37</f>
        <v>6820</v>
      </c>
    </row>
    <row r="38" customFormat="false" ht="15" hidden="false" customHeight="false" outlineLevel="0" collapsed="false">
      <c r="A38" s="22" t="n">
        <v>23</v>
      </c>
      <c r="B38" s="15" t="n">
        <f aca="false">'On-Premise'!$C$8+'On-Premise'!$C$16*A38</f>
        <v>10760</v>
      </c>
      <c r="C38" s="15" t="n">
        <f aca="false">AWS!$C$6+AWS!$C$14*A38</f>
        <v>6900</v>
      </c>
      <c r="D38" s="15" t="n">
        <f aca="false">Azure!$C$6+Azure!$C$14*A38</f>
        <v>7130</v>
      </c>
    </row>
    <row r="39" customFormat="false" ht="15" hidden="false" customHeight="false" outlineLevel="0" collapsed="false">
      <c r="A39" s="22" t="n">
        <v>24</v>
      </c>
      <c r="B39" s="15" t="n">
        <f aca="false">'On-Premise'!$C$8+'On-Premise'!$C$16*A39</f>
        <v>10880</v>
      </c>
      <c r="C39" s="15" t="n">
        <f aca="false">AWS!$C$6+AWS!$C$14*A39</f>
        <v>7200</v>
      </c>
      <c r="D39" s="15" t="n">
        <f aca="false">Azure!$C$6+Azure!$C$14*A39</f>
        <v>7440</v>
      </c>
    </row>
    <row r="40" customFormat="false" ht="15" hidden="false" customHeight="false" outlineLevel="0" collapsed="false">
      <c r="A40" s="22" t="n">
        <v>25</v>
      </c>
      <c r="B40" s="15" t="n">
        <f aca="false">'On-Premise'!$C$8+'On-Premise'!$C$16*A40</f>
        <v>11000</v>
      </c>
      <c r="C40" s="15" t="n">
        <f aca="false">AWS!$C$6+AWS!$C$14*A40</f>
        <v>7500</v>
      </c>
      <c r="D40" s="15" t="n">
        <f aca="false">Azure!$C$6+Azure!$C$14*A40</f>
        <v>7750</v>
      </c>
    </row>
    <row r="41" customFormat="false" ht="15" hidden="false" customHeight="false" outlineLevel="0" collapsed="false">
      <c r="A41" s="22" t="n">
        <v>26</v>
      </c>
      <c r="B41" s="15" t="n">
        <f aca="false">'On-Premise'!$C$8+'On-Premise'!$C$16*A41</f>
        <v>11120</v>
      </c>
      <c r="C41" s="15" t="n">
        <f aca="false">AWS!$C$6+AWS!$C$14*A41</f>
        <v>7800</v>
      </c>
      <c r="D41" s="15" t="n">
        <f aca="false">Azure!$C$6+Azure!$C$14*A41</f>
        <v>8060</v>
      </c>
    </row>
    <row r="42" customFormat="false" ht="15" hidden="false" customHeight="false" outlineLevel="0" collapsed="false">
      <c r="A42" s="22" t="n">
        <v>27</v>
      </c>
      <c r="B42" s="15" t="n">
        <f aca="false">'On-Premise'!$C$8+'On-Premise'!$C$16*A42</f>
        <v>11240</v>
      </c>
      <c r="C42" s="15" t="n">
        <f aca="false">AWS!$C$6+AWS!$C$14*A42</f>
        <v>8100</v>
      </c>
      <c r="D42" s="15" t="n">
        <f aca="false">Azure!$C$6+Azure!$C$14*A42</f>
        <v>8370</v>
      </c>
    </row>
    <row r="43" customFormat="false" ht="15" hidden="false" customHeight="false" outlineLevel="0" collapsed="false">
      <c r="A43" s="22" t="n">
        <v>28</v>
      </c>
      <c r="B43" s="15" t="n">
        <f aca="false">'On-Premise'!$C$8+'On-Premise'!$C$16*A43</f>
        <v>11360</v>
      </c>
      <c r="C43" s="15" t="n">
        <f aca="false">AWS!$C$6+AWS!$C$14*A43</f>
        <v>8400</v>
      </c>
      <c r="D43" s="15" t="n">
        <f aca="false">Azure!$C$6+Azure!$C$14*A43</f>
        <v>8680</v>
      </c>
    </row>
    <row r="44" customFormat="false" ht="15" hidden="false" customHeight="false" outlineLevel="0" collapsed="false">
      <c r="A44" s="22" t="n">
        <v>29</v>
      </c>
      <c r="B44" s="15" t="n">
        <f aca="false">'On-Premise'!$C$8+'On-Premise'!$C$16*A44</f>
        <v>11480</v>
      </c>
      <c r="C44" s="15" t="n">
        <f aca="false">AWS!$C$6+AWS!$C$14*A44</f>
        <v>8700</v>
      </c>
      <c r="D44" s="15" t="n">
        <f aca="false">Azure!$C$6+Azure!$C$14*A44</f>
        <v>8990</v>
      </c>
    </row>
    <row r="45" customFormat="false" ht="15" hidden="false" customHeight="false" outlineLevel="0" collapsed="false">
      <c r="A45" s="22" t="n">
        <v>30</v>
      </c>
      <c r="B45" s="15" t="n">
        <f aca="false">'On-Premise'!$C$8+'On-Premise'!$C$16*A45</f>
        <v>11600</v>
      </c>
      <c r="C45" s="15" t="n">
        <f aca="false">AWS!$C$6+AWS!$C$14*A45</f>
        <v>9000</v>
      </c>
      <c r="D45" s="15" t="n">
        <f aca="false">Azure!$C$6+Azure!$C$14*A45</f>
        <v>9300</v>
      </c>
    </row>
    <row r="46" customFormat="false" ht="15" hidden="false" customHeight="false" outlineLevel="0" collapsed="false">
      <c r="A46" s="22" t="n">
        <v>31</v>
      </c>
      <c r="B46" s="15" t="n">
        <f aca="false">'On-Premise'!$C$8+'On-Premise'!$C$16*A46</f>
        <v>11720</v>
      </c>
      <c r="C46" s="15" t="n">
        <f aca="false">AWS!$C$6+AWS!$C$14*A46</f>
        <v>9300</v>
      </c>
      <c r="D46" s="15" t="n">
        <f aca="false">Azure!$C$6+Azure!$C$14*A46</f>
        <v>9610</v>
      </c>
    </row>
    <row r="47" customFormat="false" ht="15" hidden="false" customHeight="false" outlineLevel="0" collapsed="false">
      <c r="A47" s="22" t="n">
        <v>32</v>
      </c>
      <c r="B47" s="15" t="n">
        <f aca="false">'On-Premise'!$C$8+'On-Premise'!$C$16*A47</f>
        <v>11840</v>
      </c>
      <c r="C47" s="15" t="n">
        <f aca="false">AWS!$C$6+AWS!$C$14*A47</f>
        <v>9600</v>
      </c>
      <c r="D47" s="15" t="n">
        <f aca="false">Azure!$C$6+Azure!$C$14*A47</f>
        <v>9920</v>
      </c>
    </row>
    <row r="48" customFormat="false" ht="15" hidden="false" customHeight="false" outlineLevel="0" collapsed="false">
      <c r="A48" s="22" t="n">
        <v>33</v>
      </c>
      <c r="B48" s="15" t="n">
        <f aca="false">'On-Premise'!$C$8+'On-Premise'!$C$16*A48</f>
        <v>11960</v>
      </c>
      <c r="C48" s="15" t="n">
        <f aca="false">AWS!$C$6+AWS!$C$14*A48</f>
        <v>9900</v>
      </c>
      <c r="D48" s="15" t="n">
        <f aca="false">Azure!$C$6+Azure!$C$14*A48</f>
        <v>10230</v>
      </c>
    </row>
    <row r="49" customFormat="false" ht="15" hidden="false" customHeight="false" outlineLevel="0" collapsed="false">
      <c r="A49" s="22" t="n">
        <v>34</v>
      </c>
      <c r="B49" s="15" t="n">
        <f aca="false">'On-Premise'!$C$8+'On-Premise'!$C$16*A49</f>
        <v>12080</v>
      </c>
      <c r="C49" s="15" t="n">
        <f aca="false">AWS!$C$6+AWS!$C$14*A49</f>
        <v>10200</v>
      </c>
      <c r="D49" s="15" t="n">
        <f aca="false">Azure!$C$6+Azure!$C$14*A49</f>
        <v>10540</v>
      </c>
    </row>
    <row r="50" customFormat="false" ht="15" hidden="false" customHeight="false" outlineLevel="0" collapsed="false">
      <c r="A50" s="22" t="n">
        <v>35</v>
      </c>
      <c r="B50" s="15" t="n">
        <f aca="false">'On-Premise'!$C$8+'On-Premise'!$C$16*A50</f>
        <v>12200</v>
      </c>
      <c r="C50" s="15" t="n">
        <f aca="false">AWS!$C$6+AWS!$C$14*A50</f>
        <v>10500</v>
      </c>
      <c r="D50" s="15" t="n">
        <f aca="false">Azure!$C$6+Azure!$C$14*A50</f>
        <v>10850</v>
      </c>
    </row>
    <row r="51" customFormat="false" ht="15" hidden="false" customHeight="false" outlineLevel="0" collapsed="false">
      <c r="A51" s="22" t="n">
        <v>36</v>
      </c>
      <c r="B51" s="15" t="n">
        <f aca="false">'On-Premise'!$C$8+'On-Premise'!$C$16*A51</f>
        <v>12320</v>
      </c>
      <c r="C51" s="15" t="n">
        <f aca="false">AWS!$C$6+AWS!$C$14*A51</f>
        <v>10800</v>
      </c>
      <c r="D51" s="15" t="n">
        <f aca="false">Azure!$C$6+Azure!$C$14*A51</f>
        <v>11160</v>
      </c>
    </row>
  </sheetData>
  <mergeCells count="3">
    <mergeCell ref="A1:E1"/>
    <mergeCell ref="B9:D9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2026-06-15T09:17:01Z</dcterms:created>
  <dc:creator>openpyxl</dc:creator>
  <dc:description/>
  <dc:language>en-US</dc:language>
  <cp:lastModifiedBy/>
  <dcterms:modified xsi:type="dcterms:W3CDTF">2026-06-15T09:17:03Z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